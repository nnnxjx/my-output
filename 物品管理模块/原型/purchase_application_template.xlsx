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2054\Downloads\"/>
    </mc:Choice>
  </mc:AlternateContent>
  <xr:revisionPtr revIDLastSave="0" documentId="13_ncr:1_{5C26D6E4-96EC-4ABB-9394-D4C4FC4524D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物品管理列表" sheetId="1" r:id="rId1"/>
    <sheet name="采购申请模板" sheetId="2" r:id="rId2"/>
    <sheet name="使用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2" l="1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C3" i="2"/>
  <c r="B3" i="2"/>
  <c r="E2" i="2"/>
  <c r="D2" i="2"/>
  <c r="C2" i="2"/>
  <c r="B2" i="2"/>
</calcChain>
</file>

<file path=xl/sharedStrings.xml><?xml version="1.0" encoding="utf-8"?>
<sst xmlns="http://schemas.openxmlformats.org/spreadsheetml/2006/main" count="72" uniqueCount="52">
  <si>
    <t>物品编号</t>
  </si>
  <si>
    <t>物品名称</t>
  </si>
  <si>
    <t>品牌</t>
  </si>
  <si>
    <t>型号规格</t>
  </si>
  <si>
    <t>单位</t>
  </si>
  <si>
    <t>类别</t>
  </si>
  <si>
    <t>备注</t>
  </si>
  <si>
    <t>ITEM001</t>
  </si>
  <si>
    <t>电脑</t>
  </si>
  <si>
    <t>Dell</t>
  </si>
  <si>
    <t>OptiPlex 7090</t>
  </si>
  <si>
    <t>台</t>
  </si>
  <si>
    <t>固定资产</t>
  </si>
  <si>
    <t>办公用</t>
  </si>
  <si>
    <t>ITEM002</t>
  </si>
  <si>
    <t>打印机</t>
  </si>
  <si>
    <t>HP</t>
  </si>
  <si>
    <t>LaserJet Pro M404n</t>
  </si>
  <si>
    <t>黑白激光</t>
  </si>
  <si>
    <t>ITEM003</t>
  </si>
  <si>
    <t>办公椅</t>
  </si>
  <si>
    <t>Herman Miller</t>
  </si>
  <si>
    <t>人体工学椅</t>
  </si>
  <si>
    <t>把</t>
  </si>
  <si>
    <t>可调节高度</t>
  </si>
  <si>
    <t>ITEM004</t>
  </si>
  <si>
    <t>黑笔</t>
  </si>
  <si>
    <t>晨光</t>
  </si>
  <si>
    <t>0.5mm黑笔</t>
  </si>
  <si>
    <t>支</t>
  </si>
  <si>
    <t>消耗品</t>
  </si>
  <si>
    <t/>
  </si>
  <si>
    <t>产品名称</t>
  </si>
  <si>
    <t>产品规格</t>
  </si>
  <si>
    <t>单价</t>
  </si>
  <si>
    <t>北片区数量</t>
  </si>
  <si>
    <t>中片区数量</t>
  </si>
  <si>
    <t>东片区数量</t>
  </si>
  <si>
    <t>西南片区数量</t>
  </si>
  <si>
    <t>说明</t>
  </si>
  <si>
    <t>步骤</t>
  </si>
  <si>
    <t>提示</t>
  </si>
  <si>
    <t>使用指南</t>
  </si>
  <si>
    <t>1. 在"采购申请模板"工作表中，点击产品名称列的单元格，从下拉列表中选择物品</t>
  </si>
  <si>
    <t>2. 选择物品后，产品类型、产品规格和单价会自动填充</t>
  </si>
  <si>
    <t>3. 填写各片区的采购数量</t>
  </si>
  <si>
    <t>4. 可以添加多行采购申请</t>
  </si>
  <si>
    <t>5. 填写完成后，保存文件并导入到系统中</t>
  </si>
  <si>
    <t>"物品管理列表"工作表包含所有现有的物品信息，可用于参考</t>
  </si>
  <si>
    <t>电脑</t>
    <phoneticPr fontId="1" type="noConversion"/>
  </si>
  <si>
    <t>黑笔</t>
    <phoneticPr fontId="1" type="noConversion"/>
  </si>
  <si>
    <t>办公椅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</si>
</sst>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/>
  </sheetViews>
  <sheetFormatPr defaultRowHeight="14.4" x14ac:dyDescent="0.25"/>
  <sheetData>
    <row r="1" spans="1:7" ht="15.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.6" x14ac:dyDescent="0.2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18</v>
      </c>
    </row>
    <row r="4" spans="1:7" ht="15.6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>
        <v>24</v>
      </c>
    </row>
    <row r="5" spans="1:7" ht="15.6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</sheetData>
  <phoneticPr fontId="1" type="noConversion"/>
  <pageMargins left="0.7" right="0.7" top="0.75" bottom="0.75" header="0.3" footer="0.3"/>
  <ignoredErrors>
    <ignoredError sqref="A1:G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tabSelected="1" workbookViewId="0">
      <selection activeCell="F4" sqref="F4"/>
    </sheetView>
  </sheetViews>
  <sheetFormatPr defaultRowHeight="14.4" x14ac:dyDescent="0.25"/>
  <sheetData>
    <row r="1" spans="1:10" ht="15.6" x14ac:dyDescent="0.25">
      <c r="A1" t="s">
        <v>32</v>
      </c>
      <c r="B1" t="s">
        <v>2</v>
      </c>
      <c r="C1" t="s">
        <v>33</v>
      </c>
      <c r="D1" t="s">
        <v>4</v>
      </c>
      <c r="E1" t="s">
        <v>5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 ht="15.6" x14ac:dyDescent="0.25">
      <c r="A2" t="s">
        <v>49</v>
      </c>
      <c r="B2" t="str">
        <f>IFERROR(VLOOKUP(A2, 物品管理列表!$B$2:$G$5, 2, FALSE), "")</f>
        <v>Dell</v>
      </c>
      <c r="C2" t="str">
        <f>IFERROR(VLOOKUP(A2, 物品管理列表!$B$2:$G$5, 3, FALSE), "")</f>
        <v>OptiPlex 7090</v>
      </c>
      <c r="D2" t="str">
        <f>IFERROR(VLOOKUP(A2, 物品管理列表!$B$2:$G$5, 4, FALSE), "")</f>
        <v>台</v>
      </c>
      <c r="E2" t="str">
        <f>IFERROR(VLOOKUP(A2, 物品管理列表!$B$2:$G$5, 5, FALSE), "")</f>
        <v>固定资产</v>
      </c>
      <c r="F2">
        <v>5000</v>
      </c>
      <c r="G2">
        <v>1</v>
      </c>
      <c r="H2">
        <v>1</v>
      </c>
      <c r="I2">
        <v>1</v>
      </c>
      <c r="J2">
        <v>1</v>
      </c>
    </row>
    <row r="3" spans="1:10" ht="15" customHeight="1" x14ac:dyDescent="0.25">
      <c r="A3" t="s">
        <v>50</v>
      </c>
      <c r="B3" t="str">
        <f>IFERROR(VLOOKUP(A3, 物品管理列表!$B$2:$G$5, 2, FALSE), "")</f>
        <v>晨光</v>
      </c>
      <c r="C3" t="str">
        <f>IFERROR(VLOOKUP(A3, 物品管理列表!$B$2:$G$5, 3, FALSE), "")</f>
        <v>0.5mm黑笔</v>
      </c>
      <c r="D3" t="str">
        <f>IFERROR(VLOOKUP(A3, 物品管理列表!$B$2:$G$5, 4, FALSE), "")</f>
        <v>支</v>
      </c>
      <c r="E3" t="str">
        <f>IFERROR(VLOOKUP(A3, 物品管理列表!$B$2:$G$5, 5, FALSE), "")</f>
        <v>消耗品</v>
      </c>
      <c r="F3">
        <v>1</v>
      </c>
      <c r="G3">
        <v>20</v>
      </c>
      <c r="H3">
        <v>20</v>
      </c>
      <c r="I3">
        <v>20</v>
      </c>
      <c r="J3">
        <v>20</v>
      </c>
    </row>
    <row r="4" spans="1:10" ht="15.6" x14ac:dyDescent="0.25">
      <c r="A4" t="s">
        <v>51</v>
      </c>
      <c r="B4" t="str">
        <f>IFERROR(VLOOKUP(A4, 物品管理列表!$B$2:$G$5, 2, FALSE), "")</f>
        <v>Herman Miller</v>
      </c>
      <c r="C4" t="str">
        <f>IFERROR(VLOOKUP(A4, 物品管理列表!$B$2:$G$5, 3, FALSE), "")</f>
        <v>人体工学椅</v>
      </c>
      <c r="D4" t="str">
        <f>IFERROR(VLOOKUP(A4, 物品管理列表!$B$2:$G$5, 4, FALSE), "")</f>
        <v>把</v>
      </c>
      <c r="E4" t="str">
        <f>IFERROR(VLOOKUP(A4, 物品管理列表!$B$2:$G$5, 5, FALSE), "")</f>
        <v>固定资产</v>
      </c>
      <c r="F4">
        <v>200</v>
      </c>
      <c r="G4">
        <v>1</v>
      </c>
      <c r="H4">
        <v>1</v>
      </c>
      <c r="I4">
        <v>1</v>
      </c>
      <c r="J4">
        <v>1</v>
      </c>
    </row>
    <row r="5" spans="1:10" ht="15.6" x14ac:dyDescent="0.25">
      <c r="A5" t="s">
        <v>31</v>
      </c>
      <c r="B5" t="str">
        <f>IFERROR(VLOOKUP(A5, 物品管理列表!$B$2:$G$5, 2, FALSE), "")</f>
        <v/>
      </c>
      <c r="C5" t="str">
        <f>IFERROR(VLOOKUP(A5, 物品管理列表!$B$2:$G$5, 3, FALSE), "")</f>
        <v/>
      </c>
      <c r="D5" t="str">
        <f>IFERROR(VLOOKUP(A5, 物品管理列表!$B$2:$G$5, 4, FALSE), "")</f>
        <v/>
      </c>
      <c r="E5" t="str">
        <f>IFERROR(VLOOKUP(A5, 物品管理列表!$B$2:$G$5, 5, FALSE), "")</f>
        <v/>
      </c>
      <c r="F5" t="s">
        <v>31</v>
      </c>
      <c r="G5">
        <v>0</v>
      </c>
      <c r="H5">
        <v>0</v>
      </c>
      <c r="I5">
        <v>0</v>
      </c>
      <c r="J5">
        <v>0</v>
      </c>
    </row>
    <row r="6" spans="1:10" ht="15.6" x14ac:dyDescent="0.25">
      <c r="A6" t="s">
        <v>31</v>
      </c>
      <c r="B6" t="str">
        <f>IFERROR(VLOOKUP(A6, 物品管理列表!$B$2:$G$5, 2, FALSE), "")</f>
        <v/>
      </c>
      <c r="C6" t="str">
        <f>IFERROR(VLOOKUP(A6, 物品管理列表!$B$2:$G$5, 3, FALSE), "")</f>
        <v/>
      </c>
      <c r="D6" t="str">
        <f>IFERROR(VLOOKUP(A6, 物品管理列表!$B$2:$G$5, 4, FALSE), "")</f>
        <v/>
      </c>
      <c r="E6" t="str">
        <f>IFERROR(VLOOKUP(A6, 物品管理列表!$B$2:$G$5, 5, FALSE), "")</f>
        <v/>
      </c>
      <c r="F6" t="s">
        <v>31</v>
      </c>
      <c r="G6">
        <v>0</v>
      </c>
      <c r="H6">
        <v>0</v>
      </c>
      <c r="I6">
        <v>0</v>
      </c>
      <c r="J6">
        <v>0</v>
      </c>
    </row>
    <row r="7" spans="1:10" ht="15.6" x14ac:dyDescent="0.25">
      <c r="A7" t="s">
        <v>31</v>
      </c>
      <c r="B7" t="str">
        <f>IFERROR(VLOOKUP(A7, 物品管理列表!$B$2:$G$5, 2, FALSE), "")</f>
        <v/>
      </c>
      <c r="C7" t="str">
        <f>IFERROR(VLOOKUP(A7, 物品管理列表!$B$2:$G$5, 3, FALSE), "")</f>
        <v/>
      </c>
      <c r="D7" t="str">
        <f>IFERROR(VLOOKUP(A7, 物品管理列表!$B$2:$G$5, 4, FALSE), "")</f>
        <v/>
      </c>
      <c r="E7" t="str">
        <f>IFERROR(VLOOKUP(A7, 物品管理列表!$B$2:$G$5, 5, FALSE), "")</f>
        <v/>
      </c>
      <c r="F7" t="s">
        <v>31</v>
      </c>
      <c r="G7">
        <v>0</v>
      </c>
      <c r="H7">
        <v>0</v>
      </c>
      <c r="I7">
        <v>0</v>
      </c>
      <c r="J7">
        <v>0</v>
      </c>
    </row>
    <row r="8" spans="1:10" ht="15.6" x14ac:dyDescent="0.25">
      <c r="A8" t="s">
        <v>31</v>
      </c>
      <c r="B8" t="str">
        <f>IFERROR(VLOOKUP(A8, 物品管理列表!$B$2:$G$5, 2, FALSE), "")</f>
        <v/>
      </c>
      <c r="C8" t="str">
        <f>IFERROR(VLOOKUP(A8, 物品管理列表!$B$2:$G$5, 3, FALSE), "")</f>
        <v/>
      </c>
      <c r="D8" t="str">
        <f>IFERROR(VLOOKUP(A8, 物品管理列表!$B$2:$G$5, 4, FALSE), "")</f>
        <v/>
      </c>
      <c r="E8" t="str">
        <f>IFERROR(VLOOKUP(A8, 物品管理列表!$B$2:$G$5, 5, FALSE), "")</f>
        <v/>
      </c>
      <c r="F8" t="s">
        <v>31</v>
      </c>
      <c r="G8">
        <v>0</v>
      </c>
      <c r="H8">
        <v>0</v>
      </c>
      <c r="I8">
        <v>0</v>
      </c>
      <c r="J8">
        <v>0</v>
      </c>
    </row>
    <row r="9" spans="1:10" ht="15.6" x14ac:dyDescent="0.25">
      <c r="A9" t="s">
        <v>31</v>
      </c>
      <c r="B9" t="str">
        <f>IFERROR(VLOOKUP(A9, 物品管理列表!$B$2:$G$5, 2, FALSE), "")</f>
        <v/>
      </c>
      <c r="C9" t="str">
        <f>IFERROR(VLOOKUP(A9, 物品管理列表!$B$2:$G$5, 3, FALSE), "")</f>
        <v/>
      </c>
      <c r="D9" t="str">
        <f>IFERROR(VLOOKUP(A9, 物品管理列表!$B$2:$G$5, 4, FALSE), "")</f>
        <v/>
      </c>
      <c r="E9" t="str">
        <f>IFERROR(VLOOKUP(A9, 物品管理列表!$B$2:$G$5, 5, FALSE), "")</f>
        <v/>
      </c>
      <c r="F9" t="s">
        <v>31</v>
      </c>
      <c r="G9">
        <v>0</v>
      </c>
      <c r="H9">
        <v>0</v>
      </c>
      <c r="I9">
        <v>0</v>
      </c>
      <c r="J9">
        <v>0</v>
      </c>
    </row>
    <row r="10" spans="1:10" ht="15.6" x14ac:dyDescent="0.25">
      <c r="A10" t="s">
        <v>31</v>
      </c>
      <c r="B10" t="str">
        <f>IFERROR(VLOOKUP(A10, 物品管理列表!$B$2:$G$5, 2, FALSE), "")</f>
        <v/>
      </c>
      <c r="C10" t="str">
        <f>IFERROR(VLOOKUP(A10, 物品管理列表!$B$2:$G$5, 3, FALSE), "")</f>
        <v/>
      </c>
      <c r="D10" t="str">
        <f>IFERROR(VLOOKUP(A10, 物品管理列表!$B$2:$G$5, 4, FALSE), "")</f>
        <v/>
      </c>
      <c r="E10" t="str">
        <f>IFERROR(VLOOKUP(A10, 物品管理列表!$B$2:$G$5, 5, FALSE), "")</f>
        <v/>
      </c>
      <c r="F10" t="s">
        <v>31</v>
      </c>
      <c r="G10">
        <v>0</v>
      </c>
      <c r="H10">
        <v>0</v>
      </c>
      <c r="I10">
        <v>0</v>
      </c>
      <c r="J10">
        <v>0</v>
      </c>
    </row>
    <row r="11" spans="1:10" ht="15.6" x14ac:dyDescent="0.25">
      <c r="A11" t="s">
        <v>31</v>
      </c>
      <c r="B11" t="str">
        <f>IFERROR(VLOOKUP(A11, 物品管理列表!$B$2:$G$5, 2, FALSE), "")</f>
        <v/>
      </c>
      <c r="C11" t="str">
        <f>IFERROR(VLOOKUP(A11, 物品管理列表!$B$2:$G$5, 3, FALSE), "")</f>
        <v/>
      </c>
      <c r="D11" t="str">
        <f>IFERROR(VLOOKUP(A11, 物品管理列表!$B$2:$G$5, 4, FALSE), "")</f>
        <v/>
      </c>
      <c r="E11" t="str">
        <f>IFERROR(VLOOKUP(A11, 物品管理列表!$B$2:$G$5, 5, FALSE), "")</f>
        <v/>
      </c>
      <c r="F11" t="s">
        <v>31</v>
      </c>
      <c r="G11">
        <v>0</v>
      </c>
      <c r="H11">
        <v>0</v>
      </c>
      <c r="I11">
        <v>0</v>
      </c>
      <c r="J11">
        <v>0</v>
      </c>
    </row>
  </sheetData>
  <phoneticPr fontId="1" type="noConversion"/>
  <pageMargins left="0.7" right="0.7" top="0.75" bottom="0.75" header="0.3" footer="0.3"/>
  <ignoredErrors>
    <ignoredError sqref="A1:J1 A5:J11 B2:E2 B3:E3 B4:E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4.4" x14ac:dyDescent="0.25"/>
  <sheetData>
    <row r="1" spans="1:3" ht="15.6" x14ac:dyDescent="0.25">
      <c r="A1" t="s">
        <v>39</v>
      </c>
      <c r="B1" t="s">
        <v>40</v>
      </c>
      <c r="C1" t="s">
        <v>41</v>
      </c>
    </row>
    <row r="2" spans="1:3" ht="15.6" x14ac:dyDescent="0.25">
      <c r="A2" t="s">
        <v>42</v>
      </c>
    </row>
    <row r="3" spans="1:3" ht="15.6" x14ac:dyDescent="0.25">
      <c r="B3" t="s">
        <v>43</v>
      </c>
    </row>
    <row r="4" spans="1:3" ht="15.6" x14ac:dyDescent="0.25">
      <c r="B4" t="s">
        <v>44</v>
      </c>
    </row>
    <row r="5" spans="1:3" ht="15.6" x14ac:dyDescent="0.25">
      <c r="B5" t="s">
        <v>45</v>
      </c>
    </row>
    <row r="6" spans="1:3" ht="15.6" x14ac:dyDescent="0.25">
      <c r="B6" t="s">
        <v>46</v>
      </c>
    </row>
    <row r="7" spans="1:3" ht="15.6" x14ac:dyDescent="0.25">
      <c r="B7" t="s">
        <v>47</v>
      </c>
    </row>
    <row r="8" spans="1:3" ht="15.6" x14ac:dyDescent="0.25">
      <c r="C8" t="s">
        <v>48</v>
      </c>
    </row>
  </sheetData>
  <phoneticPr fontId="1" type="noConversion"/>
  <pageMargins left="0.7" right="0.7" top="0.75" bottom="0.75" header="0.3" footer="0.3"/>
  <ignoredErrors>
    <ignoredError sqref="A1:C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物品管理列表</vt:lpstr>
      <vt:lpstr>采购申请模板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k3482</cp:lastModifiedBy>
  <dcterms:modified xsi:type="dcterms:W3CDTF">2026-02-26T06:56:54Z</dcterms:modified>
</cp:coreProperties>
</file>